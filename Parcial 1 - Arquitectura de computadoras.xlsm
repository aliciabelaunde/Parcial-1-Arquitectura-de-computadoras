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f19bfcfd531f6f4/Escritorio/Parcial 1 - Arquitectura de computadoras/Parcial-1-Arquitectura-de-computadoras/"/>
    </mc:Choice>
  </mc:AlternateContent>
  <xr:revisionPtr revIDLastSave="13367" documentId="13_ncr:1_{175FADDC-89C0-4BFA-8EEE-0FA80C23D065}" xr6:coauthVersionLast="47" xr6:coauthVersionMax="47" xr10:uidLastSave="{FB2712B6-EBE4-41E8-9E02-41B7F7FCD1D2}"/>
  <bookViews>
    <workbookView xWindow="-120" yWindow="-120" windowWidth="20730" windowHeight="11040" xr2:uid="{07BDB6B2-5C5B-472F-830D-F23C4F1DD2AA}"/>
  </bookViews>
  <sheets>
    <sheet name="Simulador" sheetId="1" r:id="rId1"/>
    <sheet name="Lo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8" i="1" l="1"/>
  <c r="C28" i="1" s="1"/>
  <c r="B30" i="1"/>
  <c r="B29" i="1" l="1"/>
</calcChain>
</file>

<file path=xl/sharedStrings.xml><?xml version="1.0" encoding="utf-8"?>
<sst xmlns="http://schemas.openxmlformats.org/spreadsheetml/2006/main" count="78" uniqueCount="66">
  <si>
    <t>REGISTRO</t>
  </si>
  <si>
    <t>VALOR</t>
  </si>
  <si>
    <t>BANDERA</t>
  </si>
  <si>
    <t>PC (Program Counter)</t>
  </si>
  <si>
    <t>00</t>
  </si>
  <si>
    <t>ZF (Zero Flag)</t>
  </si>
  <si>
    <t>RAM</t>
  </si>
  <si>
    <t>0A</t>
  </si>
  <si>
    <t>0B</t>
  </si>
  <si>
    <t>0C</t>
  </si>
  <si>
    <t>0D</t>
  </si>
  <si>
    <t>0E</t>
  </si>
  <si>
    <t>0F</t>
  </si>
  <si>
    <t>LOG DE MICRO-OPERACIONES</t>
  </si>
  <si>
    <t>IR (Instruction Reg)</t>
  </si>
  <si>
    <t>CF (Carry Flag)</t>
  </si>
  <si>
    <t>10</t>
  </si>
  <si>
    <t>1A</t>
  </si>
  <si>
    <t>80</t>
  </si>
  <si>
    <t>CODIGO 00h-7Fh</t>
  </si>
  <si>
    <t>MAR (Mem Addr Reg)</t>
  </si>
  <si>
    <t>SF (Sign Flag)</t>
  </si>
  <si>
    <t>3B</t>
  </si>
  <si>
    <t>FF</t>
  </si>
  <si>
    <t>MDR (Mem Data Reg)</t>
  </si>
  <si>
    <t>20</t>
  </si>
  <si>
    <t>AX (Acumulador)</t>
  </si>
  <si>
    <t>30</t>
  </si>
  <si>
    <t>BX (Registro Aux)</t>
  </si>
  <si>
    <t>40</t>
  </si>
  <si>
    <t>50</t>
  </si>
  <si>
    <t>PANEL DE CONTROL</t>
  </si>
  <si>
    <t>60</t>
  </si>
  <si>
    <t>70</t>
  </si>
  <si>
    <t>DATOS 80h–FFh</t>
  </si>
  <si>
    <t>90</t>
  </si>
  <si>
    <t>A0</t>
  </si>
  <si>
    <t>B0</t>
  </si>
  <si>
    <t>LISTA</t>
  </si>
  <si>
    <t>C0</t>
  </si>
  <si>
    <t>D0</t>
  </si>
  <si>
    <t>UNIDAD DE CONTROL</t>
  </si>
  <si>
    <t>E0</t>
  </si>
  <si>
    <t>FETCH</t>
  </si>
  <si>
    <t>DECODE</t>
  </si>
  <si>
    <t>EXECUTE</t>
  </si>
  <si>
    <t>STORE</t>
  </si>
  <si>
    <t>F0</t>
  </si>
  <si>
    <t>Instruccion</t>
  </si>
  <si>
    <t>-</t>
  </si>
  <si>
    <t>ALU</t>
  </si>
  <si>
    <t>Reloj</t>
  </si>
  <si>
    <t>Retardo RUN (ms)</t>
  </si>
  <si>
    <t>INSPECTOR DE MEMORIA</t>
  </si>
  <si>
    <t>Direccion (hex)</t>
  </si>
  <si>
    <t>Hex / Dec</t>
  </si>
  <si>
    <t>Binario</t>
  </si>
  <si>
    <t>Mnemonico</t>
  </si>
  <si>
    <t>Paso</t>
  </si>
  <si>
    <t>Fase</t>
  </si>
  <si>
    <t>Micro-operacion</t>
  </si>
  <si>
    <t>Detalle</t>
  </si>
  <si>
    <t>[SYSTEM] CPU reiniciada (registros y PC = 00h).</t>
  </si>
  <si>
    <t>CPU reiniciada</t>
  </si>
  <si>
    <t>PC=0x00</t>
  </si>
  <si>
    <t>Instr 0 | Pulso 0 | Sig: FETCH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</si>
</sst>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charset val="1"/>
    </font>
    <font>
      <b/>
      <sz val="11"/>
      <color rgb="FF1F3864"/>
      <name val="Aptos Narrow"/>
      <family val="2"/>
      <charset val="1"/>
    </font>
    <font>
      <b/>
      <sz val="12"/>
      <color rgb="FF000000"/>
      <name val="Aptos Narrow"/>
      <family val="2"/>
      <charset val="1"/>
    </font>
    <font>
      <b/>
      <sz val="11"/>
      <color theme="1"/>
      <name val="Aptos Narrow"/>
      <family val="2"/>
      <charset val="1"/>
    </font>
    <font>
      <b/>
      <sz val="10"/>
      <color rgb="FFFFFFFF"/>
      <name val="Aptos Narrow"/>
      <family val="2"/>
      <charset val="1"/>
    </font>
    <font>
      <b/>
      <sz val="11"/>
      <color rgb="FFFFFFFF"/>
      <name val="Arial"/>
      <family val="2"/>
      <charset val="1"/>
    </font>
    <font>
      <sz val="10"/>
      <color rgb="FF1F3864"/>
      <name val="Aptos Narrow"/>
      <family val="2"/>
      <charset val="1"/>
    </font>
    <font>
      <b/>
      <sz val="9"/>
      <color rgb="FFFFFFFF"/>
      <name val="Aptos Narrow"/>
      <family val="2"/>
      <charset val="1"/>
    </font>
    <font>
      <sz val="9"/>
      <color rgb="FF7CFC8A"/>
      <name val="Consolas"/>
      <family val="3"/>
      <charset val="1"/>
    </font>
    <font>
      <b/>
      <sz val="11"/>
      <color rgb="FFFFFFFF"/>
      <name val="Aptos Narrow"/>
      <family val="2"/>
      <charset val="1"/>
    </font>
    <font>
      <sz val="10"/>
      <color rgb="FF375623"/>
      <name val="Aptos Narrow"/>
      <family val="2"/>
      <charset val="1"/>
    </font>
    <font>
      <b/>
      <sz val="12"/>
      <color theme="1"/>
      <name val="Consolas"/>
      <family val="2"/>
      <charset val="1"/>
    </font>
    <font>
      <sz val="9"/>
      <color theme="1"/>
      <name val="Consolas"/>
      <family val="2"/>
      <charset val="1"/>
    </font>
    <font>
      <sz val="11"/>
      <color theme="1"/>
      <name val="Consolas"/>
      <family val="2"/>
      <charset val="1"/>
    </font>
    <font>
      <b/>
      <sz val="11"/>
      <color rgb="FF595959"/>
      <name val="Aptos Narrow"/>
      <family val="2"/>
      <charset val="1"/>
    </font>
  </fonts>
  <fills count="16">
    <fill>
      <patternFill patternType="none"/>
    </fill>
    <fill>
      <patternFill patternType="gray125"/>
    </fill>
    <fill>
      <patternFill patternType="solid">
        <fgColor rgb="FF1F3864"/>
        <bgColor rgb="FF333F4F"/>
      </patternFill>
    </fill>
    <fill>
      <patternFill patternType="solid">
        <fgColor rgb="FFF2F6FC"/>
        <bgColor rgb="FFEDF1F7"/>
      </patternFill>
    </fill>
    <fill>
      <patternFill patternType="solid">
        <fgColor rgb="FFFFF2CC"/>
        <bgColor rgb="FFFFFFCC"/>
      </patternFill>
    </fill>
    <fill>
      <patternFill patternType="solid">
        <fgColor rgb="FF333F4F"/>
        <bgColor rgb="FF40404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F2F6FC"/>
      </patternFill>
    </fill>
    <fill>
      <patternFill patternType="solid">
        <fgColor rgb="FFDDEBF7"/>
        <bgColor rgb="FFEDF1F7"/>
      </patternFill>
    </fill>
    <fill>
      <patternFill patternType="solid">
        <fgColor rgb="FF2F5597"/>
        <bgColor rgb="FF006699"/>
      </patternFill>
    </fill>
    <fill>
      <patternFill patternType="solid">
        <fgColor rgb="FF1E1E1E"/>
        <bgColor rgb="FF0D0D0D"/>
      </patternFill>
    </fill>
    <fill>
      <patternFill patternType="solid">
        <fgColor rgb="FFEDF1F7"/>
        <bgColor rgb="FFF2F6FC"/>
      </patternFill>
    </fill>
    <fill>
      <patternFill patternType="solid">
        <fgColor rgb="FFE2EFDA"/>
        <bgColor rgb="FFDDEBF7"/>
      </patternFill>
    </fill>
    <fill>
      <patternFill patternType="solid">
        <fgColor rgb="FF548235"/>
        <bgColor rgb="FF339966"/>
      </patternFill>
    </fill>
    <fill>
      <patternFill patternType="solid">
        <fgColor rgb="FFD9D9D9"/>
        <bgColor rgb="FFDDEBF7"/>
      </patternFill>
    </fill>
    <fill>
      <patternFill patternType="solid">
        <fgColor rgb="FFFFFFCC"/>
        <bgColor rgb="FFFFF2CC"/>
      </patternFill>
    </fill>
  </fills>
  <borders count="30">
    <border>
      <left/>
      <right/>
      <top/>
      <bottom/>
      <diagonal/>
    </border>
    <border>
      <left style="medium">
        <color rgb="FF1F3864"/>
      </left>
      <right/>
      <top style="medium">
        <color rgb="FF1F3864"/>
      </top>
      <bottom/>
      <diagonal/>
    </border>
    <border>
      <left/>
      <right/>
      <top style="medium">
        <color rgb="FF1F3864"/>
      </top>
      <bottom/>
      <diagonal/>
    </border>
    <border>
      <left/>
      <right style="medium">
        <color rgb="FF1F3864"/>
      </right>
      <top style="medium">
        <color rgb="FF1F3864"/>
      </top>
      <bottom/>
      <diagonal/>
    </border>
    <border>
      <left style="medium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1F3864"/>
      </left>
      <right style="medium">
        <color rgb="FF1F3864"/>
      </right>
      <top style="thin">
        <color rgb="FF1F3864"/>
      </top>
      <bottom style="thin">
        <color rgb="FF1F3864"/>
      </bottom>
      <diagonal/>
    </border>
    <border>
      <left style="medium">
        <color rgb="FF333F4F"/>
      </left>
      <right/>
      <top style="medium">
        <color rgb="FF333F4F"/>
      </top>
      <bottom/>
      <diagonal/>
    </border>
    <border>
      <left/>
      <right/>
      <top style="medium">
        <color rgb="FF333F4F"/>
      </top>
      <bottom/>
      <diagonal/>
    </border>
    <border>
      <left/>
      <right style="medium">
        <color rgb="FF333F4F"/>
      </right>
      <top style="medium">
        <color rgb="FF333F4F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333F4F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medium">
        <color rgb="FF333F4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rgb="FF1F3864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1F3864"/>
      </left>
      <right style="medium">
        <color rgb="FF1F3864"/>
      </right>
      <top style="thin">
        <color rgb="FF1F3864"/>
      </top>
      <bottom style="medium">
        <color rgb="FF1F3864"/>
      </bottom>
      <diagonal/>
    </border>
    <border>
      <left style="medium">
        <color rgb="FF1F3864"/>
      </left>
      <right style="medium">
        <color rgb="FF1F3864"/>
      </right>
      <top style="medium">
        <color rgb="FF1F3864"/>
      </top>
      <bottom/>
      <diagonal/>
    </border>
    <border>
      <left style="medium">
        <color rgb="FF1F3864"/>
      </left>
      <right/>
      <top/>
      <bottom/>
      <diagonal/>
    </border>
    <border>
      <left/>
      <right style="medium">
        <color rgb="FF1F3864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404040"/>
      </bottom>
      <diagonal/>
    </border>
    <border>
      <left style="thin">
        <color rgb="FFFFFFFF"/>
      </left>
      <right style="medium">
        <color rgb="FF333F4F"/>
      </right>
      <top style="thin">
        <color rgb="FFFFFFFF"/>
      </top>
      <bottom style="medium">
        <color rgb="FF404040"/>
      </bottom>
      <diagonal/>
    </border>
    <border>
      <left style="medium">
        <color rgb="FF333F4F"/>
      </left>
      <right/>
      <top/>
      <bottom style="medium">
        <color rgb="FF333F4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333F4F"/>
      </bottom>
      <diagonal/>
    </border>
    <border>
      <left style="thin">
        <color rgb="FFFFFFFF"/>
      </left>
      <right style="medium">
        <color rgb="FF333F4F"/>
      </right>
      <top style="thin">
        <color rgb="FFFFFFFF"/>
      </top>
      <bottom style="medium">
        <color rgb="FF333F4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3" borderId="4" xfId="0" applyFont="1" applyFill="1" applyBorder="1" applyAlignment="1">
      <alignment horizontal="center"/>
    </xf>
    <xf numFmtId="164" fontId="3" fillId="3" borderId="5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164" fontId="5" fillId="5" borderId="7" xfId="0" applyNumberFormat="1" applyFont="1" applyFill="1" applyBorder="1" applyAlignment="1">
      <alignment horizontal="center" vertical="center"/>
    </xf>
    <xf numFmtId="164" fontId="5" fillId="5" borderId="8" xfId="0" applyNumberFormat="1" applyFont="1" applyFill="1" applyBorder="1" applyAlignment="1">
      <alignment horizontal="center" vertical="center"/>
    </xf>
    <xf numFmtId="164" fontId="5" fillId="5" borderId="9" xfId="0" applyNumberFormat="1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164" fontId="4" fillId="7" borderId="5" xfId="0" applyNumberFormat="1" applyFont="1" applyFill="1" applyBorder="1" applyAlignment="1">
      <alignment horizontal="center"/>
    </xf>
    <xf numFmtId="164" fontId="5" fillId="5" borderId="11" xfId="0" applyNumberFormat="1" applyFont="1" applyFill="1" applyBorder="1" applyAlignment="1">
      <alignment horizontal="center" vertical="center"/>
    </xf>
    <xf numFmtId="164" fontId="7" fillId="8" borderId="12" xfId="0" applyNumberFormat="1" applyFont="1" applyFill="1" applyBorder="1" applyAlignment="1">
      <alignment horizontal="center" vertical="center"/>
    </xf>
    <xf numFmtId="164" fontId="7" fillId="8" borderId="13" xfId="0" applyNumberFormat="1" applyFont="1" applyFill="1" applyBorder="1" applyAlignment="1">
      <alignment horizontal="center" vertical="center"/>
    </xf>
    <xf numFmtId="0" fontId="9" fillId="10" borderId="14" xfId="0" applyFont="1" applyFill="1" applyBorder="1" applyAlignment="1">
      <alignment horizontal="left" vertical="center"/>
    </xf>
    <xf numFmtId="0" fontId="9" fillId="10" borderId="0" xfId="0" applyFont="1" applyFill="1" applyAlignment="1">
      <alignment horizontal="left" vertical="center"/>
    </xf>
    <xf numFmtId="0" fontId="9" fillId="10" borderId="15" xfId="0" applyFont="1" applyFill="1" applyBorder="1" applyAlignment="1">
      <alignment horizontal="left" vertical="center"/>
    </xf>
    <xf numFmtId="164" fontId="4" fillId="3" borderId="5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2" fillId="7" borderId="16" xfId="0" applyFont="1" applyFill="1" applyBorder="1" applyAlignment="1">
      <alignment horizontal="center"/>
    </xf>
    <xf numFmtId="164" fontId="4" fillId="7" borderId="17" xfId="0" applyNumberFormat="1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11" borderId="20" xfId="0" applyFill="1" applyBorder="1"/>
    <xf numFmtId="0" fontId="0" fillId="11" borderId="0" xfId="0" applyFill="1"/>
    <xf numFmtId="0" fontId="0" fillId="11" borderId="21" xfId="0" applyFill="1" applyBorder="1"/>
    <xf numFmtId="164" fontId="7" fillId="8" borderId="22" xfId="0" applyNumberFormat="1" applyFont="1" applyFill="1" applyBorder="1" applyAlignment="1">
      <alignment horizontal="center" vertical="center"/>
    </xf>
    <xf numFmtId="164" fontId="7" fillId="8" borderId="23" xfId="0" applyNumberFormat="1" applyFont="1" applyFill="1" applyBorder="1" applyAlignment="1">
      <alignment horizontal="center" vertical="center"/>
    </xf>
    <xf numFmtId="164" fontId="11" fillId="12" borderId="12" xfId="0" applyNumberFormat="1" applyFont="1" applyFill="1" applyBorder="1" applyAlignment="1">
      <alignment horizontal="center" vertical="center"/>
    </xf>
    <xf numFmtId="164" fontId="11" fillId="12" borderId="13" xfId="0" applyNumberFormat="1" applyFont="1" applyFill="1" applyBorder="1" applyAlignment="1">
      <alignment horizontal="center" vertical="center"/>
    </xf>
    <xf numFmtId="164" fontId="5" fillId="5" borderId="24" xfId="0" applyNumberFormat="1" applyFont="1" applyFill="1" applyBorder="1" applyAlignment="1">
      <alignment horizontal="center" vertical="center"/>
    </xf>
    <xf numFmtId="164" fontId="11" fillId="12" borderId="25" xfId="0" applyNumberFormat="1" applyFont="1" applyFill="1" applyBorder="1" applyAlignment="1">
      <alignment horizontal="center" vertical="center"/>
    </xf>
    <xf numFmtId="164" fontId="11" fillId="12" borderId="26" xfId="0" applyNumberFormat="1" applyFont="1" applyFill="1" applyBorder="1" applyAlignment="1">
      <alignment horizontal="center" vertical="center"/>
    </xf>
    <xf numFmtId="0" fontId="9" fillId="10" borderId="27" xfId="0" applyFont="1" applyFill="1" applyBorder="1" applyAlignment="1">
      <alignment horizontal="left" vertical="center"/>
    </xf>
    <xf numFmtId="0" fontId="9" fillId="10" borderId="28" xfId="0" applyFont="1" applyFill="1" applyBorder="1" applyAlignment="1">
      <alignment horizontal="left" vertical="center"/>
    </xf>
    <xf numFmtId="0" fontId="9" fillId="10" borderId="29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0" fillId="15" borderId="0" xfId="0" applyFill="1" applyAlignment="1">
      <alignment horizontal="center"/>
    </xf>
    <xf numFmtId="49" fontId="0" fillId="15" borderId="0" xfId="0" applyNumberFormat="1" applyFill="1" applyAlignment="1">
      <alignment horizontal="center"/>
    </xf>
    <xf numFmtId="0" fontId="15" fillId="1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6" fillId="6" borderId="10" xfId="0" applyFont="1" applyFill="1" applyBorder="1" applyAlignment="1">
      <alignment horizontal="center" vertical="center"/>
    </xf>
    <xf numFmtId="0" fontId="8" fillId="9" borderId="0" xfId="0" applyFont="1" applyFill="1" applyAlignment="1">
      <alignment horizontal="center" vertical="center" textRotation="90" wrapText="1"/>
    </xf>
    <xf numFmtId="0" fontId="10" fillId="2" borderId="19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 textRotation="90"/>
    </xf>
    <xf numFmtId="0" fontId="4" fillId="2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7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60000</xdr:colOff>
      <xdr:row>9</xdr:row>
      <xdr:rowOff>40000</xdr:rowOff>
    </xdr:from>
    <xdr:to>
      <xdr:col>2</xdr:col>
      <xdr:colOff>3209</xdr:colOff>
      <xdr:row>10</xdr:row>
      <xdr:rowOff>139025</xdr:rowOff>
    </xdr:to>
    <xdr:sp macro="[0]!BtnStep" textlink="">
      <xdr:nvSpPr>
        <xdr:cNvPr id="2" name="btnBtnStep">
          <a:extLst>
            <a:ext uri="{FF2B5EF4-FFF2-40B4-BE49-F238E27FC236}">
              <a16:creationId xmlns:a16="http://schemas.microsoft.com/office/drawing/2014/main" id="{0FDA4671-8B6C-445E-8377-CA0A3DF1324F}"/>
            </a:ext>
          </a:extLst>
        </xdr:cNvPr>
        <xdr:cNvSpPr/>
      </xdr:nvSpPr>
      <xdr:spPr>
        <a:xfrm>
          <a:off x="60000" y="1792600"/>
          <a:ext cx="1924409" cy="289525"/>
        </a:xfrm>
        <a:prstGeom prst="roundRect">
          <a:avLst/>
        </a:prstGeom>
        <a:solidFill>
          <a:srgbClr val="2F75B5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es-BO" sz="1000" b="1">
              <a:solidFill>
                <a:srgbClr val="FFFFFF"/>
              </a:solidFill>
            </a:rPr>
            <a:t>STEP (micro-op)</a:t>
          </a:r>
        </a:p>
      </xdr:txBody>
    </xdr:sp>
    <xdr:clientData/>
  </xdr:twoCellAnchor>
  <xdr:twoCellAnchor editAs="oneCell">
    <xdr:from>
      <xdr:col>2</xdr:col>
      <xdr:colOff>30000</xdr:colOff>
      <xdr:row>9</xdr:row>
      <xdr:rowOff>40000</xdr:rowOff>
    </xdr:from>
    <xdr:to>
      <xdr:col>3</xdr:col>
      <xdr:colOff>597225</xdr:colOff>
      <xdr:row>10</xdr:row>
      <xdr:rowOff>139025</xdr:rowOff>
    </xdr:to>
    <xdr:sp macro="[0]!BtnStepInstr" textlink="">
      <xdr:nvSpPr>
        <xdr:cNvPr id="3" name="btnBtnStepInstr">
          <a:extLst>
            <a:ext uri="{FF2B5EF4-FFF2-40B4-BE49-F238E27FC236}">
              <a16:creationId xmlns:a16="http://schemas.microsoft.com/office/drawing/2014/main" id="{C0019636-850D-4E35-8D4C-E0739F163596}"/>
            </a:ext>
          </a:extLst>
        </xdr:cNvPr>
        <xdr:cNvSpPr/>
      </xdr:nvSpPr>
      <xdr:spPr>
        <a:xfrm>
          <a:off x="2011200" y="1792600"/>
          <a:ext cx="1529250" cy="289525"/>
        </a:xfrm>
        <a:prstGeom prst="roundRect">
          <a:avLst/>
        </a:prstGeom>
        <a:solidFill>
          <a:srgbClr val="1F4E79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es-BO" sz="1000" b="1">
              <a:solidFill>
                <a:srgbClr val="FFFFFF"/>
              </a:solidFill>
            </a:rPr>
            <a:t>STEP INSTR</a:t>
          </a:r>
        </a:p>
      </xdr:txBody>
    </xdr:sp>
    <xdr:clientData/>
  </xdr:twoCellAnchor>
  <xdr:twoCellAnchor editAs="oneCell">
    <xdr:from>
      <xdr:col>0</xdr:col>
      <xdr:colOff>60000</xdr:colOff>
      <xdr:row>10</xdr:row>
      <xdr:rowOff>164500</xdr:rowOff>
    </xdr:from>
    <xdr:to>
      <xdr:col>2</xdr:col>
      <xdr:colOff>3209</xdr:colOff>
      <xdr:row>12</xdr:row>
      <xdr:rowOff>63500</xdr:rowOff>
    </xdr:to>
    <xdr:sp macro="[0]!BtnRun" textlink="">
      <xdr:nvSpPr>
        <xdr:cNvPr id="4" name="btnBtnRun">
          <a:extLst>
            <a:ext uri="{FF2B5EF4-FFF2-40B4-BE49-F238E27FC236}">
              <a16:creationId xmlns:a16="http://schemas.microsoft.com/office/drawing/2014/main" id="{D0A092BA-AC26-4063-916E-073D78455F6F}"/>
            </a:ext>
          </a:extLst>
        </xdr:cNvPr>
        <xdr:cNvSpPr/>
      </xdr:nvSpPr>
      <xdr:spPr>
        <a:xfrm>
          <a:off x="60000" y="2117125"/>
          <a:ext cx="1924409" cy="280000"/>
        </a:xfrm>
        <a:prstGeom prst="roundRect">
          <a:avLst/>
        </a:prstGeom>
        <a:solidFill>
          <a:srgbClr val="548235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es-BO" sz="1000" b="1">
              <a:solidFill>
                <a:srgbClr val="FFFFFF"/>
              </a:solidFill>
            </a:rPr>
            <a:t>RUN</a:t>
          </a:r>
        </a:p>
      </xdr:txBody>
    </xdr:sp>
    <xdr:clientData/>
  </xdr:twoCellAnchor>
  <xdr:twoCellAnchor editAs="oneCell">
    <xdr:from>
      <xdr:col>2</xdr:col>
      <xdr:colOff>30000</xdr:colOff>
      <xdr:row>10</xdr:row>
      <xdr:rowOff>164500</xdr:rowOff>
    </xdr:from>
    <xdr:to>
      <xdr:col>3</xdr:col>
      <xdr:colOff>597225</xdr:colOff>
      <xdr:row>12</xdr:row>
      <xdr:rowOff>63500</xdr:rowOff>
    </xdr:to>
    <xdr:sp macro="[0]!BtnPause" textlink="">
      <xdr:nvSpPr>
        <xdr:cNvPr id="5" name="btnBtnPause">
          <a:extLst>
            <a:ext uri="{FF2B5EF4-FFF2-40B4-BE49-F238E27FC236}">
              <a16:creationId xmlns:a16="http://schemas.microsoft.com/office/drawing/2014/main" id="{09A65C8E-6466-40DF-BA7D-6B134A5E3224}"/>
            </a:ext>
          </a:extLst>
        </xdr:cNvPr>
        <xdr:cNvSpPr/>
      </xdr:nvSpPr>
      <xdr:spPr>
        <a:xfrm>
          <a:off x="2011200" y="2117125"/>
          <a:ext cx="1529250" cy="280000"/>
        </a:xfrm>
        <a:prstGeom prst="roundRect">
          <a:avLst/>
        </a:prstGeom>
        <a:solidFill>
          <a:srgbClr val="BF8F0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es-BO" sz="1000" b="1">
              <a:solidFill>
                <a:srgbClr val="FFFFFF"/>
              </a:solidFill>
            </a:rPr>
            <a:t>PAUSE</a:t>
          </a:r>
        </a:p>
      </xdr:txBody>
    </xdr:sp>
    <xdr:clientData/>
  </xdr:twoCellAnchor>
  <xdr:twoCellAnchor editAs="oneCell">
    <xdr:from>
      <xdr:col>0</xdr:col>
      <xdr:colOff>60000</xdr:colOff>
      <xdr:row>12</xdr:row>
      <xdr:rowOff>98500</xdr:rowOff>
    </xdr:from>
    <xdr:to>
      <xdr:col>2</xdr:col>
      <xdr:colOff>3209</xdr:colOff>
      <xdr:row>14</xdr:row>
      <xdr:rowOff>623</xdr:rowOff>
    </xdr:to>
    <xdr:sp macro="[0]!BtnReset" textlink="">
      <xdr:nvSpPr>
        <xdr:cNvPr id="6" name="btnBtnReset">
          <a:extLst>
            <a:ext uri="{FF2B5EF4-FFF2-40B4-BE49-F238E27FC236}">
              <a16:creationId xmlns:a16="http://schemas.microsoft.com/office/drawing/2014/main" id="{D57BD43A-590E-4D0E-BA27-E66497F6AF01}"/>
            </a:ext>
          </a:extLst>
        </xdr:cNvPr>
        <xdr:cNvSpPr/>
      </xdr:nvSpPr>
      <xdr:spPr>
        <a:xfrm>
          <a:off x="60000" y="2432125"/>
          <a:ext cx="1924409" cy="283123"/>
        </a:xfrm>
        <a:prstGeom prst="roundRect">
          <a:avLst/>
        </a:prstGeom>
        <a:solidFill>
          <a:srgbClr val="C0000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es-BO" sz="10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 editAs="oneCell">
    <xdr:from>
      <xdr:col>2</xdr:col>
      <xdr:colOff>30000</xdr:colOff>
      <xdr:row>12</xdr:row>
      <xdr:rowOff>98500</xdr:rowOff>
    </xdr:from>
    <xdr:to>
      <xdr:col>3</xdr:col>
      <xdr:colOff>597225</xdr:colOff>
      <xdr:row>14</xdr:row>
      <xdr:rowOff>623</xdr:rowOff>
    </xdr:to>
    <xdr:sp macro="[0]!BtnLoadProgram" textlink="">
      <xdr:nvSpPr>
        <xdr:cNvPr id="7" name="btnBtnLoadProgram">
          <a:extLst>
            <a:ext uri="{FF2B5EF4-FFF2-40B4-BE49-F238E27FC236}">
              <a16:creationId xmlns:a16="http://schemas.microsoft.com/office/drawing/2014/main" id="{361340EA-28A3-4676-9029-7660182EB5B7}"/>
            </a:ext>
          </a:extLst>
        </xdr:cNvPr>
        <xdr:cNvSpPr/>
      </xdr:nvSpPr>
      <xdr:spPr>
        <a:xfrm>
          <a:off x="2011200" y="2432125"/>
          <a:ext cx="1529250" cy="283123"/>
        </a:xfrm>
        <a:prstGeom prst="roundRect">
          <a:avLst/>
        </a:prstGeom>
        <a:solidFill>
          <a:srgbClr val="7030A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es-BO" sz="1000" b="1">
              <a:solidFill>
                <a:srgbClr val="FFFFFF"/>
              </a:solidFill>
            </a:rPr>
            <a:t>LOAD PROGRAM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8396-B8C4-44B2-A6F2-FA382A083A88}">
  <sheetPr codeName="Sheet1"/>
  <dimension ref="A1:AE30"/>
  <sheetViews>
    <sheetView tabSelected="1" topLeftCell="A3" zoomScale="63" workbookViewId="0">
      <selection activeCell="F22" sqref="F22"/>
    </sheetView>
  </sheetViews>
  <sheetFormatPr defaultRowHeight="15" x14ac:dyDescent="0.25"/>
  <cols>
    <col min="1" max="1" width="20.5703125" style="5" customWidth="1"/>
    <col min="2" max="2" width="9.140625" style="5"/>
    <col min="3" max="3" width="14.42578125" style="5" customWidth="1"/>
    <col min="4" max="4" width="9.140625" style="5"/>
    <col min="5" max="6" width="9.140625" style="4"/>
    <col min="7" max="21" width="9.140625" style="5"/>
    <col min="25" max="25" width="12.5703125" customWidth="1"/>
    <col min="26" max="26" width="12.7109375" customWidth="1"/>
    <col min="27" max="27" width="11.5703125" customWidth="1"/>
    <col min="28" max="28" width="11.42578125" customWidth="1"/>
  </cols>
  <sheetData>
    <row r="1" spans="1:31" ht="15.75" thickBot="1" x14ac:dyDescent="0.3">
      <c r="A1" s="1" t="s">
        <v>0</v>
      </c>
      <c r="B1" s="2" t="s">
        <v>1</v>
      </c>
      <c r="C1" s="2" t="s">
        <v>2</v>
      </c>
      <c r="D1" s="3" t="s">
        <v>1</v>
      </c>
      <c r="AE1" t="s">
        <v>43</v>
      </c>
    </row>
    <row r="2" spans="1:31" ht="15.75" x14ac:dyDescent="0.25">
      <c r="A2" s="6" t="s">
        <v>3</v>
      </c>
      <c r="B2" s="7">
        <v>0</v>
      </c>
      <c r="C2" s="8" t="s">
        <v>5</v>
      </c>
      <c r="D2" s="9">
        <v>0</v>
      </c>
      <c r="F2" s="10" t="s">
        <v>6</v>
      </c>
      <c r="G2" s="11">
        <v>0</v>
      </c>
      <c r="H2" s="11">
        <v>1</v>
      </c>
      <c r="I2" s="11">
        <v>2</v>
      </c>
      <c r="J2" s="11">
        <v>3</v>
      </c>
      <c r="K2" s="11">
        <v>4</v>
      </c>
      <c r="L2" s="11">
        <v>5</v>
      </c>
      <c r="M2" s="11">
        <v>6</v>
      </c>
      <c r="N2" s="11">
        <v>7</v>
      </c>
      <c r="O2" s="11">
        <v>8</v>
      </c>
      <c r="P2" s="11">
        <v>9</v>
      </c>
      <c r="Q2" s="11" t="s">
        <v>7</v>
      </c>
      <c r="R2" s="11" t="s">
        <v>8</v>
      </c>
      <c r="S2" s="11" t="s">
        <v>9</v>
      </c>
      <c r="T2" s="11" t="s">
        <v>10</v>
      </c>
      <c r="U2" s="11" t="s">
        <v>11</v>
      </c>
      <c r="V2" s="12" t="s">
        <v>12</v>
      </c>
      <c r="Y2" s="48" t="s">
        <v>13</v>
      </c>
      <c r="Z2" s="48"/>
      <c r="AA2" s="48"/>
      <c r="AB2" s="48"/>
      <c r="AE2">
        <v>0</v>
      </c>
    </row>
    <row r="3" spans="1:31" x14ac:dyDescent="0.25">
      <c r="A3" s="13" t="s">
        <v>14</v>
      </c>
      <c r="B3" s="14">
        <v>0</v>
      </c>
      <c r="C3" s="8" t="s">
        <v>15</v>
      </c>
      <c r="D3" s="9">
        <v>0</v>
      </c>
      <c r="F3" s="15" t="s">
        <v>4</v>
      </c>
      <c r="G3" s="16">
        <v>10</v>
      </c>
      <c r="H3" s="16">
        <v>0</v>
      </c>
      <c r="I3" s="16">
        <v>16</v>
      </c>
      <c r="J3" s="16">
        <v>83</v>
      </c>
      <c r="K3" s="16">
        <v>15</v>
      </c>
      <c r="L3" s="16">
        <v>81</v>
      </c>
      <c r="M3" s="16">
        <v>17</v>
      </c>
      <c r="N3" s="16">
        <v>82</v>
      </c>
      <c r="O3" s="16">
        <v>29</v>
      </c>
      <c r="P3" s="16">
        <v>0</v>
      </c>
      <c r="Q3" s="16">
        <v>41</v>
      </c>
      <c r="R3" s="16" t="s">
        <v>17</v>
      </c>
      <c r="S3" s="16">
        <v>14</v>
      </c>
      <c r="T3" s="16">
        <v>83</v>
      </c>
      <c r="U3" s="16">
        <v>15</v>
      </c>
      <c r="V3" s="17">
        <v>80</v>
      </c>
      <c r="W3" s="49" t="s">
        <v>19</v>
      </c>
      <c r="Y3" s="18" t="s">
        <v>62</v>
      </c>
      <c r="Z3" s="19"/>
      <c r="AA3" s="19"/>
      <c r="AB3" s="20"/>
      <c r="AE3">
        <v>0</v>
      </c>
    </row>
    <row r="4" spans="1:31" x14ac:dyDescent="0.25">
      <c r="A4" s="6" t="s">
        <v>20</v>
      </c>
      <c r="B4" s="21">
        <v>0</v>
      </c>
      <c r="C4" s="8" t="s">
        <v>21</v>
      </c>
      <c r="D4" s="9">
        <v>0</v>
      </c>
      <c r="F4" s="15" t="s">
        <v>16</v>
      </c>
      <c r="G4" s="16">
        <v>22</v>
      </c>
      <c r="H4" s="16">
        <v>16</v>
      </c>
      <c r="I4" s="16">
        <v>83</v>
      </c>
      <c r="J4" s="16">
        <v>15</v>
      </c>
      <c r="K4" s="16">
        <v>82</v>
      </c>
      <c r="L4" s="16" t="s">
        <v>22</v>
      </c>
      <c r="M4" s="16">
        <v>17</v>
      </c>
      <c r="N4" s="16">
        <v>82</v>
      </c>
      <c r="O4" s="16">
        <v>42</v>
      </c>
      <c r="P4" s="16" t="s">
        <v>9</v>
      </c>
      <c r="Q4" s="16" t="s">
        <v>23</v>
      </c>
      <c r="R4" s="16">
        <v>0</v>
      </c>
      <c r="S4" s="16">
        <v>0</v>
      </c>
      <c r="T4" s="16">
        <v>0</v>
      </c>
      <c r="U4" s="16">
        <v>0</v>
      </c>
      <c r="V4" s="17">
        <v>0</v>
      </c>
      <c r="W4" s="49"/>
      <c r="Y4" s="18"/>
      <c r="Z4" s="19"/>
      <c r="AA4" s="19"/>
      <c r="AB4" s="20"/>
      <c r="AE4">
        <v>0</v>
      </c>
    </row>
    <row r="5" spans="1:31" x14ac:dyDescent="0.25">
      <c r="A5" s="13" t="s">
        <v>24</v>
      </c>
      <c r="B5" s="14">
        <v>0</v>
      </c>
      <c r="C5" s="22"/>
      <c r="D5" s="23"/>
      <c r="F5" s="15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7">
        <v>0</v>
      </c>
      <c r="W5" s="49"/>
      <c r="Y5" s="18"/>
      <c r="Z5" s="19"/>
      <c r="AA5" s="19"/>
      <c r="AB5" s="20"/>
      <c r="AE5">
        <v>0</v>
      </c>
    </row>
    <row r="6" spans="1:31" x14ac:dyDescent="0.25">
      <c r="A6" s="6" t="s">
        <v>26</v>
      </c>
      <c r="B6" s="21">
        <v>0</v>
      </c>
      <c r="C6" s="24"/>
      <c r="D6" s="25"/>
      <c r="F6" s="15" t="s">
        <v>27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7">
        <v>0</v>
      </c>
      <c r="W6" s="49"/>
      <c r="Y6" s="18"/>
      <c r="Z6" s="19"/>
      <c r="AA6" s="19"/>
      <c r="AB6" s="20"/>
      <c r="AE6">
        <v>0</v>
      </c>
    </row>
    <row r="7" spans="1:31" ht="15.75" thickBot="1" x14ac:dyDescent="0.3">
      <c r="A7" s="26" t="s">
        <v>28</v>
      </c>
      <c r="B7" s="27">
        <v>0</v>
      </c>
      <c r="C7" s="28"/>
      <c r="D7" s="29"/>
      <c r="F7" s="15" t="s">
        <v>29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7">
        <v>0</v>
      </c>
      <c r="W7" s="49"/>
      <c r="Y7" s="18"/>
      <c r="Z7" s="19"/>
      <c r="AA7" s="19"/>
      <c r="AB7" s="20"/>
      <c r="AE7">
        <v>0</v>
      </c>
    </row>
    <row r="8" spans="1:31" ht="15.75" thickBot="1" x14ac:dyDescent="0.3">
      <c r="F8" s="15" t="s">
        <v>30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7">
        <v>0</v>
      </c>
      <c r="W8" s="49"/>
      <c r="Y8" s="18"/>
      <c r="Z8" s="19"/>
      <c r="AA8" s="19"/>
      <c r="AB8" s="20"/>
      <c r="AE8">
        <v>0</v>
      </c>
    </row>
    <row r="9" spans="1:31" x14ac:dyDescent="0.25">
      <c r="A9" s="50" t="s">
        <v>31</v>
      </c>
      <c r="B9" s="50"/>
      <c r="C9" s="50"/>
      <c r="D9" s="50"/>
      <c r="F9" s="15" t="s">
        <v>32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7">
        <v>0</v>
      </c>
      <c r="W9" s="49"/>
      <c r="Y9" s="18"/>
      <c r="Z9" s="19"/>
      <c r="AA9" s="19"/>
      <c r="AB9" s="20"/>
    </row>
    <row r="10" spans="1:31" ht="15.75" thickBot="1" x14ac:dyDescent="0.3">
      <c r="A10" s="30"/>
      <c r="B10" s="31"/>
      <c r="C10" s="31"/>
      <c r="D10" s="32"/>
      <c r="F10" s="15" t="s">
        <v>33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3">
        <v>0</v>
      </c>
      <c r="S10" s="33">
        <v>0</v>
      </c>
      <c r="T10" s="33">
        <v>0</v>
      </c>
      <c r="U10" s="33">
        <v>0</v>
      </c>
      <c r="V10" s="34">
        <v>0</v>
      </c>
      <c r="W10" s="49"/>
      <c r="Y10" s="18"/>
      <c r="Z10" s="19"/>
      <c r="AA10" s="19"/>
      <c r="AB10" s="20"/>
    </row>
    <row r="11" spans="1:31" x14ac:dyDescent="0.25">
      <c r="A11" s="30"/>
      <c r="B11" s="31"/>
      <c r="C11" s="31"/>
      <c r="D11" s="32"/>
      <c r="F11" s="15" t="s">
        <v>18</v>
      </c>
      <c r="G11" s="35">
        <v>7</v>
      </c>
      <c r="H11" s="35">
        <v>3</v>
      </c>
      <c r="I11" s="35">
        <v>0</v>
      </c>
      <c r="J11" s="35">
        <v>15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35">
        <v>0</v>
      </c>
      <c r="R11" s="35">
        <v>0</v>
      </c>
      <c r="S11" s="35">
        <v>0</v>
      </c>
      <c r="T11" s="35">
        <v>0</v>
      </c>
      <c r="U11" s="35">
        <v>0</v>
      </c>
      <c r="V11" s="36">
        <v>0</v>
      </c>
      <c r="W11" s="51" t="s">
        <v>34</v>
      </c>
      <c r="Y11" s="18"/>
      <c r="Z11" s="19"/>
      <c r="AA11" s="19"/>
      <c r="AB11" s="20"/>
    </row>
    <row r="12" spans="1:31" x14ac:dyDescent="0.25">
      <c r="A12" s="30"/>
      <c r="B12" s="31"/>
      <c r="C12" s="31"/>
      <c r="D12" s="32"/>
      <c r="F12" s="15" t="s">
        <v>35</v>
      </c>
      <c r="G12" s="35">
        <v>0</v>
      </c>
      <c r="H12" s="35">
        <v>0</v>
      </c>
      <c r="I12" s="35">
        <v>0</v>
      </c>
      <c r="J12" s="35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35">
        <v>0</v>
      </c>
      <c r="R12" s="35">
        <v>0</v>
      </c>
      <c r="S12" s="35">
        <v>0</v>
      </c>
      <c r="T12" s="35">
        <v>0</v>
      </c>
      <c r="U12" s="35">
        <v>0</v>
      </c>
      <c r="V12" s="36">
        <v>0</v>
      </c>
      <c r="W12" s="51"/>
      <c r="Y12" s="18"/>
      <c r="Z12" s="19"/>
      <c r="AA12" s="19"/>
      <c r="AB12" s="20"/>
    </row>
    <row r="13" spans="1:31" x14ac:dyDescent="0.25">
      <c r="A13" s="30"/>
      <c r="B13" s="31"/>
      <c r="C13" s="31"/>
      <c r="D13" s="32"/>
      <c r="F13" s="15" t="s">
        <v>36</v>
      </c>
      <c r="G13" s="35">
        <v>0</v>
      </c>
      <c r="H13" s="35">
        <v>0</v>
      </c>
      <c r="I13" s="35">
        <v>0</v>
      </c>
      <c r="J13" s="35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35">
        <v>0</v>
      </c>
      <c r="R13" s="35">
        <v>0</v>
      </c>
      <c r="S13" s="35">
        <v>0</v>
      </c>
      <c r="T13" s="35">
        <v>0</v>
      </c>
      <c r="U13" s="35">
        <v>0</v>
      </c>
      <c r="V13" s="36">
        <v>0</v>
      </c>
      <c r="W13" s="51"/>
      <c r="Y13" s="18"/>
      <c r="Z13" s="19"/>
      <c r="AA13" s="19"/>
      <c r="AB13" s="20"/>
    </row>
    <row r="14" spans="1:31" x14ac:dyDescent="0.25">
      <c r="A14" s="30"/>
      <c r="B14" s="31"/>
      <c r="C14" s="31"/>
      <c r="D14" s="32"/>
      <c r="F14" s="15" t="s">
        <v>37</v>
      </c>
      <c r="G14" s="35">
        <v>0</v>
      </c>
      <c r="H14" s="35">
        <v>0</v>
      </c>
      <c r="I14" s="35">
        <v>0</v>
      </c>
      <c r="J14" s="35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35">
        <v>0</v>
      </c>
      <c r="R14" s="35">
        <v>0</v>
      </c>
      <c r="S14" s="35">
        <v>0</v>
      </c>
      <c r="T14" s="35">
        <v>0</v>
      </c>
      <c r="U14" s="35">
        <v>0</v>
      </c>
      <c r="V14" s="36">
        <v>0</v>
      </c>
      <c r="W14" s="51"/>
      <c r="Y14" s="18"/>
      <c r="Z14" s="19"/>
      <c r="AA14" s="19"/>
      <c r="AB14" s="20"/>
    </row>
    <row r="15" spans="1:31" x14ac:dyDescent="0.25">
      <c r="A15" s="30" t="s">
        <v>38</v>
      </c>
      <c r="B15" s="31"/>
      <c r="C15" s="31"/>
      <c r="D15" s="32"/>
      <c r="F15" s="15" t="s">
        <v>39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35">
        <v>0</v>
      </c>
      <c r="M15" s="35">
        <v>0</v>
      </c>
      <c r="N15" s="35">
        <v>0</v>
      </c>
      <c r="O15" s="35">
        <v>0</v>
      </c>
      <c r="P15" s="35">
        <v>0</v>
      </c>
      <c r="Q15" s="35">
        <v>0</v>
      </c>
      <c r="R15" s="35">
        <v>0</v>
      </c>
      <c r="S15" s="35">
        <v>0</v>
      </c>
      <c r="T15" s="35">
        <v>0</v>
      </c>
      <c r="U15" s="35">
        <v>0</v>
      </c>
      <c r="V15" s="36">
        <v>0</v>
      </c>
      <c r="W15" s="51"/>
      <c r="Y15" s="18"/>
      <c r="Z15" s="19"/>
      <c r="AA15" s="19"/>
      <c r="AB15" s="20"/>
    </row>
    <row r="16" spans="1:31" x14ac:dyDescent="0.25">
      <c r="A16" s="30"/>
      <c r="B16" s="31"/>
      <c r="C16" s="31"/>
      <c r="D16" s="32"/>
      <c r="F16" s="15" t="s">
        <v>40</v>
      </c>
      <c r="G16" s="35">
        <v>0</v>
      </c>
      <c r="H16" s="35">
        <v>0</v>
      </c>
      <c r="I16" s="35">
        <v>0</v>
      </c>
      <c r="J16" s="35">
        <v>0</v>
      </c>
      <c r="K16" s="35">
        <v>0</v>
      </c>
      <c r="L16" s="35">
        <v>0</v>
      </c>
      <c r="M16" s="35">
        <v>0</v>
      </c>
      <c r="N16" s="35">
        <v>0</v>
      </c>
      <c r="O16" s="35">
        <v>0</v>
      </c>
      <c r="P16" s="35">
        <v>0</v>
      </c>
      <c r="Q16" s="35">
        <v>0</v>
      </c>
      <c r="R16" s="35">
        <v>0</v>
      </c>
      <c r="S16" s="35">
        <v>0</v>
      </c>
      <c r="T16" s="35">
        <v>0</v>
      </c>
      <c r="U16" s="35">
        <v>0</v>
      </c>
      <c r="V16" s="36">
        <v>0</v>
      </c>
      <c r="W16" s="51"/>
      <c r="Y16" s="18"/>
      <c r="Z16" s="19"/>
      <c r="AA16" s="19"/>
      <c r="AB16" s="20"/>
    </row>
    <row r="17" spans="1:28" x14ac:dyDescent="0.25">
      <c r="A17" s="52" t="s">
        <v>41</v>
      </c>
      <c r="B17" s="52" t="s">
        <v>41</v>
      </c>
      <c r="C17" s="52" t="s">
        <v>41</v>
      </c>
      <c r="D17" s="52" t="s">
        <v>41</v>
      </c>
      <c r="F17" s="15" t="s">
        <v>42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35">
        <v>0</v>
      </c>
      <c r="M17" s="35">
        <v>0</v>
      </c>
      <c r="N17" s="35">
        <v>0</v>
      </c>
      <c r="O17" s="35">
        <v>0</v>
      </c>
      <c r="P17" s="35">
        <v>0</v>
      </c>
      <c r="Q17" s="35">
        <v>0</v>
      </c>
      <c r="R17" s="35">
        <v>0</v>
      </c>
      <c r="S17" s="35">
        <v>0</v>
      </c>
      <c r="T17" s="35">
        <v>0</v>
      </c>
      <c r="U17" s="35">
        <v>0</v>
      </c>
      <c r="V17" s="36">
        <v>0</v>
      </c>
      <c r="W17" s="51"/>
      <c r="Y17" s="18"/>
      <c r="Z17" s="19"/>
      <c r="AA17" s="19"/>
      <c r="AB17" s="20"/>
    </row>
    <row r="18" spans="1:28" ht="15.75" thickBot="1" x14ac:dyDescent="0.3">
      <c r="A18" s="46" t="s">
        <v>43</v>
      </c>
      <c r="B18" s="46" t="s">
        <v>44</v>
      </c>
      <c r="C18" s="46" t="s">
        <v>45</v>
      </c>
      <c r="D18" s="46" t="s">
        <v>46</v>
      </c>
      <c r="F18" s="37" t="s">
        <v>47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9">
        <v>0</v>
      </c>
      <c r="W18" s="51"/>
      <c r="Y18" s="18"/>
      <c r="Z18" s="19"/>
      <c r="AA18" s="19"/>
      <c r="AB18" s="20"/>
    </row>
    <row r="19" spans="1:28" ht="15.75" x14ac:dyDescent="0.25">
      <c r="A19" s="53" t="s">
        <v>63</v>
      </c>
      <c r="B19" s="53"/>
      <c r="C19" s="53"/>
      <c r="D19" s="53"/>
      <c r="Y19" s="18"/>
      <c r="Z19" s="19"/>
      <c r="AA19" s="19"/>
      <c r="AB19" s="20"/>
    </row>
    <row r="20" spans="1:28" ht="15.75" thickBot="1" x14ac:dyDescent="0.3">
      <c r="A20" s="54" t="s">
        <v>64</v>
      </c>
      <c r="B20" s="54"/>
      <c r="C20" s="54"/>
      <c r="D20" s="54"/>
      <c r="Y20" s="40"/>
      <c r="Z20" s="41"/>
      <c r="AA20" s="41"/>
      <c r="AB20" s="42"/>
    </row>
    <row r="21" spans="1:28" x14ac:dyDescent="0.25">
      <c r="A21" s="43" t="s">
        <v>48</v>
      </c>
      <c r="B21" s="55" t="s">
        <v>49</v>
      </c>
      <c r="C21" s="55"/>
      <c r="D21" s="55"/>
    </row>
    <row r="22" spans="1:28" x14ac:dyDescent="0.25">
      <c r="A22" s="43" t="s">
        <v>50</v>
      </c>
      <c r="B22" s="56" t="s">
        <v>49</v>
      </c>
      <c r="C22" s="56"/>
      <c r="D22" s="56"/>
    </row>
    <row r="23" spans="1:28" x14ac:dyDescent="0.25">
      <c r="A23" s="43" t="s">
        <v>51</v>
      </c>
      <c r="B23" s="55" t="s">
        <v>65</v>
      </c>
      <c r="C23" s="55"/>
      <c r="D23" s="55"/>
    </row>
    <row r="24" spans="1:28" x14ac:dyDescent="0.25">
      <c r="A24" s="43" t="s">
        <v>52</v>
      </c>
      <c r="B24" s="44">
        <v>300</v>
      </c>
    </row>
    <row r="26" spans="1:28" x14ac:dyDescent="0.25">
      <c r="A26" s="57" t="s">
        <v>53</v>
      </c>
      <c r="B26" s="57" t="s">
        <v>53</v>
      </c>
      <c r="C26" s="57" t="s">
        <v>53</v>
      </c>
      <c r="D26" s="57" t="s">
        <v>53</v>
      </c>
    </row>
    <row r="27" spans="1:28" x14ac:dyDescent="0.25">
      <c r="A27" s="43" t="s">
        <v>54</v>
      </c>
      <c r="B27" s="45" t="s">
        <v>16</v>
      </c>
    </row>
    <row r="28" spans="1:28" x14ac:dyDescent="0.25">
      <c r="A28" s="43" t="s">
        <v>55</v>
      </c>
      <c r="B28" s="5">
        <f>INDEX($G$3:$V$18,INT(HEX2DEC($B$27)/16)+1,MOD(HEX2DEC($B$27),16)+1)</f>
        <v>22</v>
      </c>
      <c r="C28" s="5">
        <f>HEX2DEC(B28)</f>
        <v>34</v>
      </c>
    </row>
    <row r="29" spans="1:28" x14ac:dyDescent="0.25">
      <c r="A29" s="43" t="s">
        <v>56</v>
      </c>
      <c r="B29" s="5" t="str">
        <f>HEX2BIN(B28,8)</f>
        <v>00100010</v>
      </c>
    </row>
    <row r="30" spans="1:28" x14ac:dyDescent="0.25">
      <c r="A30" s="43" t="s">
        <v>57</v>
      </c>
      <c r="B30" s="47" t="str">
        <f>MNEMONICO(B28)</f>
        <v>ADD AX, BX</v>
      </c>
      <c r="C30" s="47"/>
      <c r="D30" s="47"/>
    </row>
  </sheetData>
  <mergeCells count="12">
    <mergeCell ref="B30:D30"/>
    <mergeCell ref="Y2:AB2"/>
    <mergeCell ref="W3:W10"/>
    <mergeCell ref="A9:D9"/>
    <mergeCell ref="W11:W18"/>
    <mergeCell ref="A17:D17"/>
    <mergeCell ref="A19:D19"/>
    <mergeCell ref="A20:D20"/>
    <mergeCell ref="B21:D21"/>
    <mergeCell ref="B22:D22"/>
    <mergeCell ref="B23:D23"/>
    <mergeCell ref="A26:D26"/>
  </mergeCells>
  <pageMargins left="0.7" right="0.7" top="0.75" bottom="0.75" header="0.3" footer="0.3"/>
  <ignoredErrors>
    <ignoredError sqref="F3:F10 F12:F18 F11 B27" numberStoredAsText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ED65-92A7-4FF8-88A2-9D048B65E50D}">
  <sheetPr codeName="Sheet2"/>
  <dimension ref="A1:E1"/>
  <sheetViews>
    <sheetView workbookViewId="0">
      <selection activeCell="G5" sqref="G5"/>
    </sheetView>
  </sheetViews>
  <sheetFormatPr defaultRowHeight="15" x14ac:dyDescent="0.25"/>
  <cols>
    <col min="2" max="2" width="14.140625" customWidth="1"/>
    <col min="4" max="4" width="18.42578125" customWidth="1"/>
  </cols>
  <sheetData>
    <row r="1" spans="1:5" x14ac:dyDescent="0.25">
      <c r="A1" s="43" t="s">
        <v>58</v>
      </c>
      <c r="B1" s="43" t="s">
        <v>48</v>
      </c>
      <c r="C1" s="43" t="s">
        <v>59</v>
      </c>
      <c r="D1" s="43" t="s">
        <v>60</v>
      </c>
      <c r="E1" s="43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Simulador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Villagomez Roca</dc:creator>
  <cp:lastModifiedBy>Alicia Belaunde</cp:lastModifiedBy>
  <dcterms:created xsi:type="dcterms:W3CDTF">2026-09-28T01:27:13Z</dcterms:created>
  <dcterms:modified xsi:type="dcterms:W3CDTF">2026-09-28T03:54:08Z</dcterms:modified>
</cp:coreProperties>
</file>